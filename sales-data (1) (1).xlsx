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af7b756e5642d36/Desktop/Bootcamp/assignment1/"/>
    </mc:Choice>
  </mc:AlternateContent>
  <xr:revisionPtr revIDLastSave="105" documentId="8_{CAD01FB2-E3B1-405B-8032-3E6D6493F1CE}" xr6:coauthVersionLast="47" xr6:coauthVersionMax="47" xr10:uidLastSave="{87880BA3-1D45-4C6C-BA5D-96ED1A6180BF}"/>
  <bookViews>
    <workbookView xWindow="3852" yWindow="1704" windowWidth="17280" windowHeight="9972" xr2:uid="{00000000-000D-0000-FFFF-FFFF00000000}"/>
  </bookViews>
  <sheets>
    <sheet name="Sheet1" sheetId="1" r:id="rId1"/>
    <sheet name="dashboard" sheetId="2" r:id="rId2"/>
  </sheets>
  <definedNames>
    <definedName name="_xlnm._FilterDatabase" localSheetId="0" hidden="1">Sheet1!$A$1:$E$10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C15" i="2"/>
  <c r="C14" i="2"/>
  <c r="C13" i="2"/>
  <c r="G11" i="2"/>
  <c r="G10" i="2"/>
  <c r="G9" i="2"/>
  <c r="G8" i="2"/>
  <c r="G7" i="2"/>
  <c r="G6" i="2"/>
  <c r="G5" i="2"/>
  <c r="G4" i="2"/>
  <c r="G3" i="2"/>
  <c r="B14" i="1"/>
  <c r="B13" i="1"/>
  <c r="B12" i="1"/>
  <c r="F10" i="1"/>
  <c r="F9" i="1"/>
  <c r="F8" i="1"/>
  <c r="F7" i="1"/>
  <c r="F6" i="1"/>
  <c r="F5" i="1"/>
  <c r="F4" i="1"/>
  <c r="F3" i="1"/>
  <c r="F2" i="1"/>
  <c r="B11" i="1" l="1"/>
</calcChain>
</file>

<file path=xl/sharedStrings.xml><?xml version="1.0" encoding="utf-8"?>
<sst xmlns="http://schemas.openxmlformats.org/spreadsheetml/2006/main" count="59" uniqueCount="26">
  <si>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</si>
  <si>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</si>
  <si>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</si>
  <si>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</si>
  <si>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</si>
  <si>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</si>
  <si>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</si>
  <si>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</si>
  <si>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</si>
  <si>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</si>
  <si>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</si>
  <si>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</si>
  <si>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</si>
  <si>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</si>
  <si>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</si>
  <si>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</si>
  <si>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</si>
  <si>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</si>
  <si>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</si>
  <si>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</si>
  <si>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</si>
  <si>
    <t>average monthly sales</t>
  </si>
  <si>
    <t>best month</t>
  </si>
  <si>
    <t xml:space="preserve">Values above $1000.00 (upper threshold are highlighted in green) </t>
  </si>
  <si>
    <t xml:space="preserve">Values below $200.0 lower  threshold are highlighted in red) 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</si>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</sst>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1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performance</a:t>
            </a:r>
          </a:p>
        </c:rich>
      </c:tx>
      <c:layout>
        <c:manualLayout>
          <c:xMode val="edge"/>
          <c:yMode val="edge"/>
          <c:x val="0.295520778652668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Sheet1!$C$2:$C$10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350</c:v>
                </c:pt>
                <c:pt idx="3">
                  <c:v>300</c:v>
                </c:pt>
                <c:pt idx="4">
                  <c:v>250</c:v>
                </c:pt>
                <c:pt idx="5">
                  <c:v>200</c:v>
                </c:pt>
                <c:pt idx="6">
                  <c:v>150</c:v>
                </c:pt>
                <c:pt idx="7">
                  <c:v>120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8-4C55-BE36-1664A18EF6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Sheet1!$D$2:$D$10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300</c:v>
                </c:pt>
                <c:pt idx="3">
                  <c:v>350</c:v>
                </c:pt>
                <c:pt idx="4">
                  <c:v>280</c:v>
                </c:pt>
                <c:pt idx="5">
                  <c:v>250</c:v>
                </c:pt>
                <c:pt idx="6">
                  <c:v>200</c:v>
                </c:pt>
                <c:pt idx="7">
                  <c:v>140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18-4C55-BE36-1664A18EF65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Sheet1!$E$2:$E$10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400</c:v>
                </c:pt>
                <c:pt idx="3">
                  <c:v>400</c:v>
                </c:pt>
                <c:pt idx="4">
                  <c:v>320</c:v>
                </c:pt>
                <c:pt idx="5">
                  <c:v>300</c:v>
                </c:pt>
                <c:pt idx="6">
                  <c:v>250</c:v>
                </c:pt>
                <c:pt idx="7">
                  <c:v>160</c:v>
                </c:pt>
                <c:pt idx="8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18-4C55-BE36-1664A18EF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109295"/>
        <c:axId val="1949339503"/>
      </c:barChart>
      <c:catAx>
        <c:axId val="1947109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39503"/>
        <c:crosses val="autoZero"/>
        <c:auto val="1"/>
        <c:lblAlgn val="ctr"/>
        <c:lblOffset val="100"/>
        <c:noMultiLvlLbl val="0"/>
      </c:catAx>
      <c:valAx>
        <c:axId val="19493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layout>
        <c:manualLayout>
          <c:xMode val="edge"/>
          <c:yMode val="edge"/>
          <c:x val="0.35909011373578303"/>
          <c:y val="0.20833333333333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350</c:v>
                </c:pt>
                <c:pt idx="3">
                  <c:v>300</c:v>
                </c:pt>
                <c:pt idx="4">
                  <c:v>250</c:v>
                </c:pt>
                <c:pt idx="5">
                  <c:v>200</c:v>
                </c:pt>
                <c:pt idx="6">
                  <c:v>150</c:v>
                </c:pt>
                <c:pt idx="7">
                  <c:v>120</c:v>
                </c:pt>
                <c:pt idx="8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6-45FD-9D8D-8320EB2203C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300</c:v>
                </c:pt>
                <c:pt idx="3">
                  <c:v>350</c:v>
                </c:pt>
                <c:pt idx="4">
                  <c:v>280</c:v>
                </c:pt>
                <c:pt idx="5">
                  <c:v>250</c:v>
                </c:pt>
                <c:pt idx="6">
                  <c:v>200</c:v>
                </c:pt>
                <c:pt idx="7">
                  <c:v>140</c:v>
                </c:pt>
                <c:pt idx="8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6-45FD-9D8D-8320EB2203C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Sheet1!$E$2:$E$10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400</c:v>
                </c:pt>
                <c:pt idx="3">
                  <c:v>400</c:v>
                </c:pt>
                <c:pt idx="4">
                  <c:v>320</c:v>
                </c:pt>
                <c:pt idx="5">
                  <c:v>300</c:v>
                </c:pt>
                <c:pt idx="6">
                  <c:v>250</c:v>
                </c:pt>
                <c:pt idx="7">
                  <c:v>160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6-45FD-9D8D-8320EB220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672223"/>
        <c:axId val="1949428303"/>
      </c:lineChart>
      <c:catAx>
        <c:axId val="163567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28303"/>
        <c:crosses val="autoZero"/>
        <c:auto val="1"/>
        <c:lblAlgn val="ctr"/>
        <c:lblOffset val="100"/>
        <c:noMultiLvlLbl val="0"/>
      </c:catAx>
      <c:valAx>
        <c:axId val="194942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Sheet1!$C$2:$C$10</c:f>
              <c:numCache>
                <c:formatCode>"$"#,##0.00</c:formatCode>
                <c:ptCount val="9"/>
                <c:pt idx="0">
                  <c:v>1200</c:v>
                </c:pt>
                <c:pt idx="1">
                  <c:v>800</c:v>
                </c:pt>
                <c:pt idx="2">
                  <c:v>350</c:v>
                </c:pt>
                <c:pt idx="3">
                  <c:v>300</c:v>
                </c:pt>
                <c:pt idx="4">
                  <c:v>250</c:v>
                </c:pt>
                <c:pt idx="5">
                  <c:v>200</c:v>
                </c:pt>
                <c:pt idx="6">
                  <c:v>150</c:v>
                </c:pt>
                <c:pt idx="7">
                  <c:v>120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A-4EBA-B483-1B373FB66BE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Sheet1!$D$2:$D$10</c:f>
              <c:numCache>
                <c:formatCode>"$"#,##0.00</c:formatCode>
                <c:ptCount val="9"/>
                <c:pt idx="0">
                  <c:v>1400</c:v>
                </c:pt>
                <c:pt idx="1">
                  <c:v>950</c:v>
                </c:pt>
                <c:pt idx="2">
                  <c:v>300</c:v>
                </c:pt>
                <c:pt idx="3">
                  <c:v>350</c:v>
                </c:pt>
                <c:pt idx="4">
                  <c:v>280</c:v>
                </c:pt>
                <c:pt idx="5">
                  <c:v>250</c:v>
                </c:pt>
                <c:pt idx="6">
                  <c:v>200</c:v>
                </c:pt>
                <c:pt idx="7">
                  <c:v>140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A-4EBA-B483-1B373FB66BE3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Sheet1!$E$2:$E$10</c:f>
              <c:numCache>
                <c:formatCode>"$"#,##0.00</c:formatCode>
                <c:ptCount val="9"/>
                <c:pt idx="0">
                  <c:v>1350</c:v>
                </c:pt>
                <c:pt idx="1">
                  <c:v>1100</c:v>
                </c:pt>
                <c:pt idx="2">
                  <c:v>400</c:v>
                </c:pt>
                <c:pt idx="3">
                  <c:v>400</c:v>
                </c:pt>
                <c:pt idx="4">
                  <c:v>320</c:v>
                </c:pt>
                <c:pt idx="5">
                  <c:v>300</c:v>
                </c:pt>
                <c:pt idx="6">
                  <c:v>250</c:v>
                </c:pt>
                <c:pt idx="7">
                  <c:v>160</c:v>
                </c:pt>
                <c:pt idx="8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A-4EBA-B483-1B373FB66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dashboard!$C$3:$C$11</c:f>
              <c:strCache>
                <c:ptCount val="9"/>
                <c:pt idx="0">
                  <c:v>Electronics</c:v>
                </c:pt>
                <c:pt idx="1">
                  <c:v>Electronics</c:v>
                </c:pt>
                <c:pt idx="2">
                  <c:v>Electronics</c:v>
                </c:pt>
                <c:pt idx="3">
                  <c:v>Furniture</c:v>
                </c:pt>
                <c:pt idx="4">
                  <c:v>Appliances</c:v>
                </c:pt>
                <c:pt idx="5">
                  <c:v>Appliances</c:v>
                </c:pt>
                <c:pt idx="6">
                  <c:v>Clothing</c:v>
                </c:pt>
                <c:pt idx="7">
                  <c:v>Clothing</c:v>
                </c:pt>
                <c:pt idx="8">
                  <c:v>Footware</c:v>
                </c:pt>
              </c:strCache>
            </c:strRef>
          </c:cat>
          <c:val>
            <c:numRef>
              <c:f>dashboard!$G$3:$G$11</c:f>
              <c:numCache>
                <c:formatCode>"$"#,##0.00</c:formatCode>
                <c:ptCount val="9"/>
                <c:pt idx="0">
                  <c:v>3950</c:v>
                </c:pt>
                <c:pt idx="1">
                  <c:v>2850</c:v>
                </c:pt>
                <c:pt idx="2">
                  <c:v>1050</c:v>
                </c:pt>
                <c:pt idx="3">
                  <c:v>1050</c:v>
                </c:pt>
                <c:pt idx="4">
                  <c:v>850</c:v>
                </c:pt>
                <c:pt idx="5">
                  <c:v>750</c:v>
                </c:pt>
                <c:pt idx="6">
                  <c:v>600</c:v>
                </c:pt>
                <c:pt idx="7">
                  <c:v>420</c:v>
                </c:pt>
                <c:pt idx="8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D-48D6-9DCF-A1515298A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14</xdr:row>
      <xdr:rowOff>148590</xdr:rowOff>
    </xdr:from>
    <xdr:to>
      <xdr:col>9</xdr:col>
      <xdr:colOff>3642360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E298B-0DAC-12E6-4674-B2B884CD5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403860</xdr:colOff>
      <xdr:row>14</xdr:row>
      <xdr:rowOff>186690</xdr:rowOff>
    </xdr:from>
    <xdr:to>
      <xdr:col>7</xdr:col>
      <xdr:colOff>160020</xdr:colOff>
      <xdr:row>28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14A09-A902-E6F7-186D-001DC01FB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525780</xdr:colOff>
      <xdr:row>29</xdr:row>
      <xdr:rowOff>72390</xdr:rowOff>
    </xdr:from>
    <xdr:to>
      <xdr:col>7</xdr:col>
      <xdr:colOff>281940</xdr:colOff>
      <xdr:row>44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93B645-E134-7969-0651-9CBD0975B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2</xdr:row>
      <xdr:rowOff>91440</xdr:rowOff>
    </xdr:from>
    <xdr:to>
      <xdr:col>15</xdr:col>
      <xdr:colOff>327660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B58DC2-049A-76CB-A04B-76E14FA95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67CBB5-DD6A-420E-8983-4CDA2082322E}" name="Table2" displayName="Table2" ref="A1:F10" totalsRowShown="0">
  <tableColumns count="6">
    <tableColumn id="1" xr3:uid="{5187395F-5CCF-4CAE-974D-B536686EB18D}" name="Product"/>
    <tableColumn id="2" xr3:uid="{1D9E6F39-6B34-4449-9580-FB8629A8E4C8}" name="Category"/>
    <tableColumn id="3" xr3:uid="{D466CCD3-7B55-4C53-8264-E779EBB7F585}" name="Jan Sales" dataDxfId="17"/>
    <tableColumn id="4" xr3:uid="{A296CCB0-3C70-4586-A2B2-896FF5494C1E}" name="Feb Sales" dataDxfId="16"/>
    <tableColumn id="5" xr3:uid="{29936698-7E6F-4B3E-A323-18ED3CB529FE}" name="Mar Sales" dataDxfId="15"/>
    <tableColumn id="6" xr3:uid="{E7E592C5-1E47-4D36-AD2B-92117F85FACE}" name="Total" dataDxfId="14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D1E5EA-2D87-4C3B-BFC4-0C42413579E4}" name="Table25" displayName="Table25" ref="B2:G15" totalsRowShown="0">
  <tableColumns count="6">
    <tableColumn id="1" xr3:uid="{E50C2A25-E2C7-4BEE-8895-B38F01DFE8AE}" name="Product"/>
    <tableColumn id="2" xr3:uid="{B83BE6B8-82C2-4CFC-AD97-9DE028B5D92A}" name="Category"/>
    <tableColumn id="3" xr3:uid="{27ED5683-06ED-4634-881C-16F54FBF363F}" name="Jan Sales" dataDxfId="3"/>
    <tableColumn id="4" xr3:uid="{C70BA8FE-AA65-41F8-983B-3CC24877DB61}" name="Feb Sales" dataDxfId="2"/>
    <tableColumn id="5" xr3:uid="{57E07B3D-7337-4527-8D3B-430204F97B14}" name="Mar Sales" dataDxfId="1"/>
    <tableColumn id="6" xr3:uid="{CE4F3901-1267-484E-8B5A-57F64CF5C243}" name="Total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A11" sqref="A11:B14"/>
    </sheetView>
  </sheetViews>
  <sheetFormatPr defaultRowHeight="14.4" x14ac:dyDescent="0.3"/>
  <cols>
    <col min="1" max="1" width="19.33203125" customWidth="1"/>
    <col min="2" max="2" width="12" bestFit="1" customWidth="1"/>
    <col min="3" max="3" width="15.6640625" bestFit="1" customWidth="1"/>
    <col min="4" max="4" width="16" bestFit="1" customWidth="1"/>
    <col min="5" max="5" width="16.109375" bestFit="1" customWidth="1"/>
    <col min="6" max="6" width="9.109375" bestFit="1" customWidth="1"/>
    <col min="7" max="7" width="18.88671875" customWidth="1"/>
    <col min="8" max="8" width="9.109375" bestFit="1" customWidth="1"/>
    <col min="10" max="10" width="57.88671875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6</v>
      </c>
      <c r="B2" t="s">
        <v>7</v>
      </c>
      <c r="C2" s="3">
        <v>1200</v>
      </c>
      <c r="D2" s="3">
        <v>1400</v>
      </c>
      <c r="E2" s="3">
        <v>1350</v>
      </c>
      <c r="F2" s="3">
        <f t="shared" ref="F2:F9" si="0">SUM(C2:E2)</f>
        <v>3950</v>
      </c>
    </row>
    <row r="3" spans="1:10" x14ac:dyDescent="0.3">
      <c r="A3" t="s">
        <v>8</v>
      </c>
      <c r="B3" t="s">
        <v>7</v>
      </c>
      <c r="C3" s="3">
        <v>800</v>
      </c>
      <c r="D3" s="3">
        <v>950</v>
      </c>
      <c r="E3" s="3">
        <v>1100</v>
      </c>
      <c r="F3" s="3">
        <f t="shared" si="0"/>
        <v>2850</v>
      </c>
    </row>
    <row r="4" spans="1:10" x14ac:dyDescent="0.3">
      <c r="A4" t="s">
        <v>9</v>
      </c>
      <c r="B4" t="s">
        <v>7</v>
      </c>
      <c r="C4" s="3">
        <v>350</v>
      </c>
      <c r="D4" s="3">
        <v>300</v>
      </c>
      <c r="E4" s="3">
        <v>400</v>
      </c>
      <c r="F4" s="3">
        <f t="shared" si="0"/>
        <v>1050</v>
      </c>
    </row>
    <row r="5" spans="1:10" x14ac:dyDescent="0.3">
      <c r="A5" t="s">
        <v>10</v>
      </c>
      <c r="B5" t="s">
        <v>11</v>
      </c>
      <c r="C5" s="3">
        <v>300</v>
      </c>
      <c r="D5" s="3">
        <v>350</v>
      </c>
      <c r="E5" s="3">
        <v>400</v>
      </c>
      <c r="F5" s="3">
        <f t="shared" si="0"/>
        <v>1050</v>
      </c>
    </row>
    <row r="6" spans="1:10" ht="28.8" x14ac:dyDescent="0.3">
      <c r="A6" t="s">
        <v>12</v>
      </c>
      <c r="B6" t="s">
        <v>13</v>
      </c>
      <c r="C6" s="3">
        <v>250</v>
      </c>
      <c r="D6" s="3">
        <v>280</v>
      </c>
      <c r="E6" s="3">
        <v>320</v>
      </c>
      <c r="F6" s="3">
        <f t="shared" si="0"/>
        <v>850</v>
      </c>
      <c r="J6" s="2" t="s">
        <v>14</v>
      </c>
    </row>
    <row r="7" spans="1:10" x14ac:dyDescent="0.3">
      <c r="A7" t="s">
        <v>15</v>
      </c>
      <c r="B7" t="s">
        <v>13</v>
      </c>
      <c r="C7" s="3">
        <v>200</v>
      </c>
      <c r="D7" s="3">
        <v>250</v>
      </c>
      <c r="E7" s="3">
        <v>300</v>
      </c>
      <c r="F7" s="3">
        <f t="shared" si="0"/>
        <v>750</v>
      </c>
    </row>
    <row r="8" spans="1:10" x14ac:dyDescent="0.3">
      <c r="A8" t="s">
        <v>16</v>
      </c>
      <c r="B8" t="s">
        <v>17</v>
      </c>
      <c r="C8" s="3">
        <v>150</v>
      </c>
      <c r="D8" s="3">
        <v>200</v>
      </c>
      <c r="E8" s="3">
        <v>250</v>
      </c>
      <c r="F8" s="3">
        <f t="shared" si="0"/>
        <v>600</v>
      </c>
      <c r="J8" s="4" t="s">
        <v>23</v>
      </c>
    </row>
    <row r="9" spans="1:10" x14ac:dyDescent="0.3">
      <c r="A9" t="s">
        <v>18</v>
      </c>
      <c r="B9" t="s">
        <v>17</v>
      </c>
      <c r="C9" s="3">
        <v>120</v>
      </c>
      <c r="D9" s="3">
        <v>140</v>
      </c>
      <c r="E9" s="3">
        <v>160</v>
      </c>
      <c r="F9" s="3">
        <f t="shared" si="0"/>
        <v>420</v>
      </c>
      <c r="J9" s="4"/>
    </row>
    <row r="10" spans="1:10" x14ac:dyDescent="0.3">
      <c r="A10" t="s">
        <v>19</v>
      </c>
      <c r="B10" t="s">
        <v>20</v>
      </c>
      <c r="C10" s="3">
        <v>80</v>
      </c>
      <c r="D10" s="3">
        <v>100</v>
      </c>
      <c r="E10" s="3">
        <v>110</v>
      </c>
      <c r="F10" s="3">
        <f>SUM(C9:E10)</f>
        <v>710</v>
      </c>
      <c r="J10" s="4"/>
    </row>
    <row r="11" spans="1:10" x14ac:dyDescent="0.3">
      <c r="A11" t="s">
        <v>5</v>
      </c>
      <c r="B11" s="3">
        <f>SUM(F2:F10)</f>
        <v>12230</v>
      </c>
      <c r="J11" s="4"/>
    </row>
    <row r="12" spans="1:10" x14ac:dyDescent="0.3">
      <c r="A12" t="s">
        <v>21</v>
      </c>
      <c r="B12" s="3">
        <f>AVERAGE(C2:E10)</f>
        <v>437.40740740740739</v>
      </c>
      <c r="J12" s="5" t="s">
        <v>24</v>
      </c>
    </row>
    <row r="13" spans="1:10" x14ac:dyDescent="0.3">
      <c r="A13" t="s">
        <v>22</v>
      </c>
      <c r="B13" s="3">
        <f>MAX(C2:E10)</f>
        <v>1400</v>
      </c>
      <c r="J13" s="5"/>
    </row>
    <row r="14" spans="1:10" ht="25.5" customHeight="1" x14ac:dyDescent="0.3">
      <c r="A14" t="s">
        <v>25</v>
      </c>
      <c r="B14" s="3">
        <f>MIN(C2:E10)</f>
        <v>80</v>
      </c>
      <c r="J14" s="5"/>
    </row>
    <row r="15" spans="1:10" ht="17.25" customHeight="1" x14ac:dyDescent="0.3"/>
    <row r="17" ht="18.75" customHeight="1" x14ac:dyDescent="0.3"/>
    <row r="21" ht="20.25" customHeight="1" x14ac:dyDescent="0.3"/>
    <row r="22" ht="17.25" customHeight="1" x14ac:dyDescent="0.3"/>
    <row r="25" ht="19.5" customHeight="1" x14ac:dyDescent="0.3"/>
    <row r="34" ht="19.5" customHeight="1" x14ac:dyDescent="0.3"/>
  </sheetData>
  <sortState xmlns:xlrd2="http://schemas.microsoft.com/office/spreadsheetml/2017/richdata2" ref="C2:E10">
    <sortCondition descending="1" ref="C2:C10"/>
  </sortState>
  <mergeCells count="2">
    <mergeCell ref="J8:J11"/>
    <mergeCell ref="J12:J14"/>
  </mergeCells>
  <conditionalFormatting sqref="C2:E1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{43CB21FD-1B7E-46D1-BB80-01359C9E7968}</x14:id>
        </ext>
      </extLs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" priority="5" operator="lessThan">
      <formula>200</formula>
    </cfRule>
    <cfRule type="cellIs" dxfId="12" priority="6" operator="greaterThan">
      <formula>1000</formula>
    </cfRule>
  </conditionalFormatting>
  <conditionalFormatting sqref="E16">
    <cfRule type="cellIs" dxfId="11" priority="2" operator="greaterThan">
      <formula>1000</formula>
    </cfRule>
  </conditionalFormatting>
  <conditionalFormatting sqref="A2:F10">
    <cfRule type="cellIs" dxfId="10" priority="1" operator="lessThan">
      <formula>200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CB21FD-1B7E-46D1-BB80-01359C9E79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C2:E10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389F-F880-4719-AFD5-508E43B978BB}">
  <dimension ref="A1:P31"/>
  <sheetViews>
    <sheetView showGridLines="0" workbookViewId="0">
      <selection activeCell="G19" sqref="G19"/>
    </sheetView>
  </sheetViews>
  <sheetFormatPr defaultRowHeight="14.4" x14ac:dyDescent="0.3"/>
  <cols>
    <col min="2" max="3" width="10.109375" bestFit="1" customWidth="1"/>
  </cols>
  <sheetData>
    <row r="1" spans="1:16" x14ac:dyDescent="0.3">
      <c r="C1" s="1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3">
      <c r="B2" t="s">
        <v>0</v>
      </c>
      <c r="C2" t="s">
        <v>1</v>
      </c>
      <c r="D2" s="1" t="s">
        <v>2</v>
      </c>
      <c r="E2" t="s">
        <v>3</v>
      </c>
      <c r="F2" t="s">
        <v>4</v>
      </c>
      <c r="G2" t="s">
        <v>5</v>
      </c>
      <c r="H2" s="6"/>
      <c r="I2" s="6"/>
      <c r="J2" s="6"/>
      <c r="K2" s="6"/>
      <c r="L2" s="6"/>
      <c r="M2" s="6"/>
      <c r="N2" s="6"/>
      <c r="O2" s="6"/>
      <c r="P2" s="6"/>
    </row>
    <row r="3" spans="1:16" x14ac:dyDescent="0.3">
      <c r="B3" t="s">
        <v>6</v>
      </c>
      <c r="C3" t="s">
        <v>7</v>
      </c>
      <c r="D3" s="3">
        <v>1200</v>
      </c>
      <c r="E3" s="3">
        <v>1400</v>
      </c>
      <c r="F3" s="3">
        <v>1350</v>
      </c>
      <c r="G3" s="3">
        <f t="shared" ref="G3:G10" si="0">SUM(D3:F3)</f>
        <v>3950</v>
      </c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B4" t="s">
        <v>8</v>
      </c>
      <c r="C4" t="s">
        <v>7</v>
      </c>
      <c r="D4" s="3">
        <v>800</v>
      </c>
      <c r="E4" s="3">
        <v>950</v>
      </c>
      <c r="F4" s="3">
        <v>1100</v>
      </c>
      <c r="G4" s="3">
        <f t="shared" si="0"/>
        <v>2850</v>
      </c>
      <c r="H4" s="6"/>
      <c r="I4" s="6"/>
      <c r="J4" s="6"/>
      <c r="K4" s="6"/>
      <c r="L4" s="6"/>
      <c r="M4" s="6"/>
      <c r="N4" s="6"/>
      <c r="O4" s="6"/>
      <c r="P4" s="6"/>
    </row>
    <row r="5" spans="1:16" x14ac:dyDescent="0.3">
      <c r="B5" t="s">
        <v>9</v>
      </c>
      <c r="C5" t="s">
        <v>7</v>
      </c>
      <c r="D5" s="3">
        <v>350</v>
      </c>
      <c r="E5" s="3">
        <v>300</v>
      </c>
      <c r="F5" s="3">
        <v>400</v>
      </c>
      <c r="G5" s="3">
        <f t="shared" si="0"/>
        <v>1050</v>
      </c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B6" t="s">
        <v>10</v>
      </c>
      <c r="C6" t="s">
        <v>11</v>
      </c>
      <c r="D6" s="3">
        <v>300</v>
      </c>
      <c r="E6" s="3">
        <v>350</v>
      </c>
      <c r="F6" s="3">
        <v>400</v>
      </c>
      <c r="G6" s="3">
        <f t="shared" si="0"/>
        <v>1050</v>
      </c>
      <c r="H6" s="6"/>
      <c r="I6" s="6"/>
      <c r="J6" s="6"/>
      <c r="K6" s="6"/>
      <c r="L6" s="6"/>
      <c r="M6" s="6"/>
      <c r="N6" s="6"/>
      <c r="O6" s="6"/>
      <c r="P6" s="6"/>
    </row>
    <row r="7" spans="1:16" x14ac:dyDescent="0.3">
      <c r="B7" t="s">
        <v>12</v>
      </c>
      <c r="C7" t="s">
        <v>13</v>
      </c>
      <c r="D7" s="3">
        <v>250</v>
      </c>
      <c r="E7" s="3">
        <v>280</v>
      </c>
      <c r="F7" s="3">
        <v>320</v>
      </c>
      <c r="G7" s="3">
        <f t="shared" si="0"/>
        <v>850</v>
      </c>
      <c r="H7" s="6"/>
      <c r="I7" s="6"/>
      <c r="J7" s="6"/>
      <c r="K7" s="6"/>
      <c r="L7" s="6"/>
      <c r="M7" s="6"/>
      <c r="N7" s="6"/>
      <c r="O7" s="6"/>
      <c r="P7" s="6"/>
    </row>
    <row r="8" spans="1:16" x14ac:dyDescent="0.3">
      <c r="B8" t="s">
        <v>15</v>
      </c>
      <c r="C8" t="s">
        <v>13</v>
      </c>
      <c r="D8" s="3">
        <v>200</v>
      </c>
      <c r="E8" s="3">
        <v>250</v>
      </c>
      <c r="F8" s="3">
        <v>300</v>
      </c>
      <c r="G8" s="3">
        <f t="shared" si="0"/>
        <v>750</v>
      </c>
      <c r="H8" s="6"/>
      <c r="I8" s="6"/>
      <c r="J8" s="6"/>
      <c r="K8" s="6"/>
      <c r="L8" s="6"/>
      <c r="M8" s="6"/>
      <c r="N8" s="6"/>
      <c r="O8" s="6"/>
      <c r="P8" s="6"/>
    </row>
    <row r="9" spans="1:16" x14ac:dyDescent="0.3">
      <c r="B9" t="s">
        <v>16</v>
      </c>
      <c r="C9" t="s">
        <v>17</v>
      </c>
      <c r="D9" s="3">
        <v>150</v>
      </c>
      <c r="E9" s="3">
        <v>200</v>
      </c>
      <c r="F9" s="3">
        <v>250</v>
      </c>
      <c r="G9" s="3">
        <f t="shared" si="0"/>
        <v>600</v>
      </c>
      <c r="H9" s="6"/>
      <c r="I9" s="6"/>
      <c r="J9" s="6"/>
      <c r="K9" s="6"/>
      <c r="L9" s="6"/>
      <c r="M9" s="6"/>
      <c r="N9" s="6"/>
      <c r="O9" s="6"/>
      <c r="P9" s="6"/>
    </row>
    <row r="10" spans="1:16" x14ac:dyDescent="0.3">
      <c r="B10" t="s">
        <v>18</v>
      </c>
      <c r="C10" t="s">
        <v>17</v>
      </c>
      <c r="D10" s="3">
        <v>120</v>
      </c>
      <c r="E10" s="3">
        <v>140</v>
      </c>
      <c r="F10" s="3">
        <v>160</v>
      </c>
      <c r="G10" s="3">
        <f t="shared" si="0"/>
        <v>420</v>
      </c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">
      <c r="B11" t="s">
        <v>19</v>
      </c>
      <c r="C11" t="s">
        <v>20</v>
      </c>
      <c r="D11" s="3">
        <v>80</v>
      </c>
      <c r="E11" s="3">
        <v>100</v>
      </c>
      <c r="F11" s="3">
        <v>110</v>
      </c>
      <c r="G11" s="3">
        <f>SUM(D10:F11)</f>
        <v>710</v>
      </c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">
      <c r="B12" t="s">
        <v>5</v>
      </c>
      <c r="C12" s="3">
        <f>SUM(G3:G11)</f>
        <v>12230</v>
      </c>
      <c r="D12" s="7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">
      <c r="B13" t="s">
        <v>21</v>
      </c>
      <c r="C13" s="3">
        <f>AVERAGE(D3:F15)</f>
        <v>437.40740740740739</v>
      </c>
      <c r="D13" s="7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">
      <c r="B14" t="s">
        <v>22</v>
      </c>
      <c r="C14" s="3">
        <f>MAX(D3:F15)</f>
        <v>1400</v>
      </c>
      <c r="D14" s="7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">
      <c r="A15" s="6"/>
      <c r="B15" t="s">
        <v>25</v>
      </c>
      <c r="C15" s="3">
        <f>MIN(D3:F15)</f>
        <v>80</v>
      </c>
      <c r="D15" s="7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</sheetData>
  <conditionalFormatting sqref="D3:F1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{17CC9382-422D-4251-874F-4A1A1E009645}</x14:id>
        </ext>
      </extLs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" priority="4" operator="lessThan">
      <formula>200</formula>
    </cfRule>
    <cfRule type="cellIs" dxfId="5" priority="5" operator="greaterThan">
      <formula>1000</formula>
    </cfRule>
  </conditionalFormatting>
  <conditionalFormatting sqref="B3:G15">
    <cfRule type="cellIs" dxfId="4" priority="1" operator="lessThan">
      <formula>200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CC9382-422D-4251-874F-4A1A1E0096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D3:F15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sahar shariatpanahi</dc:creator>
  <cp:keywords/>
  <dc:description/>
  <cp:lastModifiedBy>sahar shariatpanahi</cp:lastModifiedBy>
  <cp:revision/>
  <dcterms:created xsi:type="dcterms:W3CDTF">2025-04-10T17:53:45Z</dcterms:created>
  <dcterms:modified xsi:type="dcterms:W3CDTF">2026-10-09T05:01:29Z</dcterms:modified>
  <cp:category/>
  <cp:contentStatus/>
</cp:coreProperties>
</file>